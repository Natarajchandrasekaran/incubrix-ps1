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0_Start_Here" sheetId="1" state="visible" r:id="rId1"/>
    <sheet name="1_Your_Details" sheetId="2" state="visible" r:id="rId2"/>
    <sheet name="2_Must_haves" sheetId="3" state="visible" r:id="rId3"/>
    <sheet name="3_Levels" sheetId="4" state="visible" r:id="rId4"/>
    <sheet name="4_Integration" sheetId="5" state="visible" r:id="rId5"/>
    <sheet name="5_Metrics" sheetId="6" state="visible" r:id="rId6"/>
    <sheet name="6_Hard_cases" sheetId="7" state="visible" r:id="rId7"/>
    <sheet name="7_Declaration" sheetId="8" state="visible" r:id="rId8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3"/>
    </font>
    <font>
      <name val="Arial"/>
      <charset val="1"/>
      <family val="0"/>
      <color rgb="FFFFFFFF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14212B"/>
      <sz val="10"/>
    </font>
    <font>
      <name val="Arial"/>
      <charset val="1"/>
      <family val="0"/>
      <b val="1"/>
      <color rgb="FF14212B"/>
      <sz val="10"/>
    </font>
    <font>
      <name val="Arial"/>
      <charset val="1"/>
      <family val="0"/>
      <i val="1"/>
      <color rgb="FF5B6B78"/>
      <sz val="10"/>
    </font>
  </fonts>
  <fills count="8">
    <fill>
      <patternFill/>
    </fill>
    <fill>
      <patternFill patternType="gray125"/>
    </fill>
    <fill>
      <patternFill patternType="solid">
        <fgColor rgb="FF0B1B2B"/>
        <bgColor rgb="FF14212B"/>
      </patternFill>
    </fill>
    <fill>
      <patternFill patternType="solid">
        <fgColor rgb="FF008F8A"/>
        <bgColor rgb="FF008080"/>
      </patternFill>
    </fill>
    <fill>
      <patternFill patternType="solid">
        <fgColor rgb="FFF3F5F7"/>
        <bgColor rgb="FFE7F5F3"/>
      </patternFill>
    </fill>
    <fill>
      <patternFill patternType="solid">
        <fgColor rgb="FF12324D"/>
        <bgColor rgb="FF14212B"/>
      </patternFill>
    </fill>
    <fill>
      <patternFill patternType="solid">
        <fgColor rgb="FFE7F5F3"/>
        <bgColor rgb="FFF3F5F7"/>
      </patternFill>
    </fill>
    <fill>
      <patternFill patternType="solid">
        <fgColor rgb="FFFFF4C7"/>
        <bgColor rgb="FFF3F5F7"/>
      </patternFill>
    </fill>
  </fills>
  <borders count="7">
    <border>
      <left/>
      <right/>
      <top/>
      <bottom/>
      <diagonal/>
    </border>
    <border>
      <left style="thin">
        <color rgb="FFD5DDE3"/>
      </left>
      <right/>
      <top style="thin">
        <color rgb="FFD5DDE3"/>
      </top>
      <bottom style="thin">
        <color rgb="FFD5DDE3"/>
      </bottom>
      <diagonal/>
    </border>
    <border>
      <left style="thin">
        <color rgb="FFD5DDE3"/>
      </left>
      <right style="thin">
        <color rgb="FFD5DDE3"/>
      </right>
      <top style="thin">
        <color rgb="FFD5DDE3"/>
      </top>
      <bottom style="thin">
        <color rgb="FFD5DDE3"/>
      </bottom>
      <diagonal/>
    </border>
    <border>
      <left/>
      <right/>
      <top style="thin">
        <color rgb="FFD5DDE3"/>
      </top>
      <bottom/>
      <diagonal/>
    </border>
    <border>
      <left/>
      <right/>
      <top style="thin">
        <color rgb="FFD5DDE3"/>
      </top>
      <bottom style="thin">
        <color rgb="FFD5DDE3"/>
      </bottom>
      <diagonal/>
    </border>
    <border>
      <left/>
      <right style="thin">
        <color rgb="FFD5DDE3"/>
      </right>
      <top style="thin">
        <color rgb="FFD5DDE3"/>
      </top>
      <bottom/>
      <diagonal/>
    </border>
    <border>
      <left/>
      <right style="thin">
        <color rgb="FFD5DDE3"/>
      </right>
      <top style="thin">
        <color rgb="FFD5DDE3"/>
      </top>
      <bottom style="thin">
        <color rgb="FFD5DDE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general" vertical="top" wrapText="1"/>
    </xf>
    <xf numFmtId="0" fontId="6" fillId="3" borderId="2" applyAlignment="1" pivotButton="0" quotePrefix="0" xfId="0">
      <alignment horizontal="general" vertical="top" wrapText="1"/>
    </xf>
    <xf numFmtId="0" fontId="7" fillId="0" borderId="2" applyAlignment="1" pivotButton="0" quotePrefix="0" xfId="0">
      <alignment horizontal="general" vertical="top" wrapText="1"/>
    </xf>
    <xf numFmtId="0" fontId="8" fillId="4" borderId="2" applyAlignment="1" pivotButton="0" quotePrefix="0" xfId="0">
      <alignment horizontal="general" vertical="top" wrapText="1"/>
    </xf>
    <xf numFmtId="0" fontId="6" fillId="5" borderId="2" applyAlignment="1" pivotButton="0" quotePrefix="0" xfId="0">
      <alignment horizontal="general" vertical="top" wrapText="1"/>
    </xf>
    <xf numFmtId="0" fontId="7" fillId="5" borderId="2" applyAlignment="1" pivotButton="0" quotePrefix="0" xfId="0">
      <alignment horizontal="general" vertical="top" wrapText="1"/>
    </xf>
    <xf numFmtId="0" fontId="8" fillId="6" borderId="2" applyAlignment="1" pivotButton="0" quotePrefix="0" xfId="0">
      <alignment horizontal="general" vertical="top" wrapText="1"/>
    </xf>
    <xf numFmtId="0" fontId="7" fillId="7" borderId="1" applyAlignment="1" pivotButton="0" quotePrefix="0" xfId="0">
      <alignment horizontal="general" vertical="top" wrapText="1"/>
    </xf>
    <xf numFmtId="0" fontId="7" fillId="7" borderId="2" applyAlignment="1" pivotButton="0" quotePrefix="0" xfId="0">
      <alignment horizontal="general" vertical="top" wrapText="1"/>
    </xf>
    <xf numFmtId="0" fontId="9" fillId="4" borderId="2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general" vertical="top" wrapText="1"/>
    </xf>
    <xf numFmtId="0" fontId="0" fillId="0" borderId="4" pivotButton="0" quotePrefix="0" xfId="0"/>
    <xf numFmtId="0" fontId="5" fillId="3" borderId="1" applyAlignment="1" pivotButton="0" quotePrefix="0" xfId="0">
      <alignment horizontal="general" vertical="top" wrapText="1"/>
    </xf>
    <xf numFmtId="0" fontId="6" fillId="3" borderId="2" applyAlignment="1" pivotButton="0" quotePrefix="0" xfId="0">
      <alignment horizontal="general" vertical="top" wrapText="1"/>
    </xf>
    <xf numFmtId="0" fontId="7" fillId="0" borderId="2" applyAlignment="1" pivotButton="0" quotePrefix="0" xfId="0">
      <alignment horizontal="general" vertical="top" wrapText="1"/>
    </xf>
    <xf numFmtId="0" fontId="8" fillId="4" borderId="2" applyAlignment="1" pivotButton="0" quotePrefix="0" xfId="0">
      <alignment horizontal="general" vertical="top" wrapText="1"/>
    </xf>
    <xf numFmtId="0" fontId="6" fillId="5" borderId="2" applyAlignment="1" pivotButton="0" quotePrefix="0" xfId="0">
      <alignment horizontal="general" vertical="top" wrapText="1"/>
    </xf>
    <xf numFmtId="0" fontId="7" fillId="5" borderId="2" applyAlignment="1" pivotButton="0" quotePrefix="0" xfId="0">
      <alignment horizontal="general" vertical="top" wrapText="1"/>
    </xf>
    <xf numFmtId="0" fontId="8" fillId="6" borderId="2" applyAlignment="1" pivotButton="0" quotePrefix="0" xfId="0">
      <alignment horizontal="general" vertical="top" wrapText="1"/>
    </xf>
    <xf numFmtId="0" fontId="7" fillId="7" borderId="1" applyAlignment="1" pivotButton="0" quotePrefix="0" xfId="0">
      <alignment horizontal="general" vertical="top" wrapText="1"/>
    </xf>
    <xf numFmtId="0" fontId="7" fillId="7" borderId="2" applyAlignment="1" pivotButton="0" quotePrefix="0" xfId="0">
      <alignment horizontal="general" vertical="top" wrapText="1"/>
    </xf>
    <xf numFmtId="0" fontId="9" fillId="4" borderId="2" applyAlignment="1" pivotButton="0" quotePrefix="0" xfId="0">
      <alignment horizontal="general" vertical="top" wrapText="1"/>
    </xf>
    <xf numFmtId="0" fontId="0" fillId="0" borderId="6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F8A"/>
      <rgbColor rgb="FFC0C0C0"/>
      <rgbColor rgb="FF808080"/>
      <rgbColor rgb="FF9999FF"/>
      <rgbColor rgb="FF993366"/>
      <rgbColor rgb="FFFFF4C7"/>
      <rgbColor rgb="FFE7F5F3"/>
      <rgbColor rgb="FF660066"/>
      <rgbColor rgb="FFFF8080"/>
      <rgbColor rgb="FF0066CC"/>
      <rgbColor rgb="FFD5DD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5F7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B6B78"/>
      <rgbColor rgb="FF969696"/>
      <rgbColor rgb="FF12324D"/>
      <rgbColor rgb="FF339966"/>
      <rgbColor rgb="FF0B1B2B"/>
      <rgbColor rgb="FF333300"/>
      <rgbColor rgb="FF993300"/>
      <rgbColor rgb="FF993366"/>
      <rgbColor rgb="FF333399"/>
      <rgbColor rgb="FF14212B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12" min="1" max="1"/>
    <col width="96" customWidth="1" style="12" min="2" max="2"/>
    <col width="16" customWidth="1" style="12" min="3" max="3"/>
  </cols>
  <sheetData>
    <row r="1" ht="24" customHeight="1" s="13">
      <c r="A1" s="14" t="inlineStr">
        <is>
          <t>IncuBrix Engineering Assessment 1 | AI Background Music Engine | Submission Form</t>
        </is>
      </c>
      <c r="B1" s="15" t="n"/>
      <c r="C1" s="15" t="n"/>
    </row>
    <row r="2" ht="31.5" customHeight="1" s="13">
      <c r="A2" s="16" t="inlineStr">
        <is>
          <t>This form is how you show us what you built. Fill it as you work. We verify every claim, so be precise.</t>
        </is>
      </c>
      <c r="B2" s="15" t="n"/>
      <c r="C2" s="15" t="n"/>
    </row>
    <row r="4" ht="19.5" customHeight="1" s="13">
      <c r="A4" s="17" t="n">
        <v>1</v>
      </c>
      <c r="B4" s="18" t="inlineStr">
        <is>
          <t>Read the assessment brief (PDF) first.</t>
        </is>
      </c>
    </row>
    <row r="5" ht="19.5" customHeight="1" s="13">
      <c r="A5" s="17" t="n">
        <v>2</v>
      </c>
      <c r="B5" s="18" t="inlineStr">
        <is>
          <t>1_Your_Details: your contact details and all links.</t>
        </is>
      </c>
    </row>
    <row r="6" ht="19.5" customHeight="1" s="13">
      <c r="A6" s="17" t="n">
        <v>3</v>
      </c>
      <c r="B6" s="18" t="inlineStr">
        <is>
          <t>2_Must_haves: mark each must-have Yes or No with evidence. Every one must pass to be selected.</t>
        </is>
      </c>
    </row>
    <row r="7" ht="19.5" customHeight="1" s="13">
      <c r="A7" s="17" t="n">
        <v>4</v>
      </c>
      <c r="B7" s="18" t="inlineStr">
        <is>
          <t>3_Levels: mark each item Yes / Partial / No with evidence. The level you reached is calculated for you.</t>
        </is>
      </c>
    </row>
    <row r="8" ht="19.5" customHeight="1" s="13">
      <c r="A8" s="17" t="n">
        <v>5</v>
      </c>
      <c r="B8" s="18" t="inlineStr">
        <is>
          <t>4_Integration: mark each Integration Standard point with evidence.</t>
        </is>
      </c>
    </row>
    <row r="9" ht="19.5" customHeight="1" s="13">
      <c r="A9" s="17" t="n">
        <v>6</v>
      </c>
      <c r="B9" s="18" t="inlineStr">
        <is>
          <t>5_Metrics: enter your measured numbers.  6_Hard_cases: say how your system handles each situation.</t>
        </is>
      </c>
    </row>
    <row r="10" ht="19.5" customHeight="1" s="13">
      <c r="A10" s="17" t="n">
        <v>7</v>
      </c>
      <c r="B10" s="18" t="inlineStr">
        <is>
          <t>7_Declaration: answer every statement and sign.</t>
        </is>
      </c>
    </row>
    <row r="11" ht="19.5" customHeight="1" s="13">
      <c r="A11" s="17" t="n">
        <v>8</v>
      </c>
      <c r="B11" s="18" t="inlineStr">
        <is>
          <t>Save as Assessment1_YourName.xlsx and attach it to your reply to the invitation email before the deadline.</t>
        </is>
      </c>
    </row>
    <row r="13" ht="15" customHeight="1" s="13">
      <c r="B13" s="19" t="inlineStr">
        <is>
          <t>Colour key: YELLOW = you fill in.  GREEN = calculated automatically.  GREY = instructions or example.</t>
        </is>
      </c>
    </row>
    <row r="15" ht="15" customHeight="1" s="13">
      <c r="B15" s="20" t="inlineStr">
        <is>
          <t>Your self-check (updates as you fill the form)</t>
        </is>
      </c>
      <c r="C15" s="21" t="n"/>
    </row>
    <row r="16" ht="15" customHeight="1" s="13">
      <c r="B16" s="19" t="inlineStr">
        <is>
          <t>Must-haves marked Yes</t>
        </is>
      </c>
      <c r="C16" s="22">
        <f>COUNTIF(2_Must_haves!C6:C11,"Yes")&amp;" of 6"</f>
        <v/>
      </c>
    </row>
    <row r="17" ht="15" customHeight="1" s="13">
      <c r="B17" s="19" t="inlineStr">
        <is>
          <t>Level reached</t>
        </is>
      </c>
      <c r="C17" s="22">
        <f>3_Levels!C17</f>
        <v/>
      </c>
    </row>
    <row r="18" ht="15" customHeight="1" s="13">
      <c r="B18" s="19" t="inlineStr">
        <is>
          <t>Level marks claimed (40)</t>
        </is>
      </c>
      <c r="C18" s="22">
        <f>3_Levels!C18</f>
        <v/>
      </c>
    </row>
    <row r="19" ht="15" customHeight="1" s="13">
      <c r="B19" s="19" t="inlineStr">
        <is>
          <t>Integration marks claimed (20)</t>
        </is>
      </c>
      <c r="C19" s="22">
        <f>4_Integration!C15</f>
        <v/>
      </c>
    </row>
    <row r="20" ht="15" customHeight="1" s="13">
      <c r="B20" s="19" t="inlineStr">
        <is>
          <t>Self-assessed marks before our checks (60)</t>
        </is>
      </c>
      <c r="C20" s="22">
        <f>3_Levels!C18+4_Integration!C15</f>
        <v/>
      </c>
    </row>
    <row r="22" ht="43.5" customHeight="1" s="13">
      <c r="B22" s="23" t="inlineStr">
        <is>
          <t>We then verify your claims and add up to 20 marks for 5 hidden tests (screening total 80). Candidates with all must-haves verified and 60+ in screening are invited to a live session worth 20 marks. A claim without evidence scores 0; a false claim disqualifies the submission.</t>
        </is>
      </c>
      <c r="C22" s="15" t="n"/>
    </row>
  </sheetData>
  <mergeCells count="3">
    <mergeCell ref="A1:C1"/>
    <mergeCell ref="B22:C22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12" min="1" max="1"/>
    <col width="70" customWidth="1" style="12" min="2" max="2"/>
  </cols>
  <sheetData>
    <row r="1" ht="24" customHeight="1" s="13">
      <c r="A1" s="14" t="inlineStr">
        <is>
          <t>IncuBrix Assessment 1 | Submission Form | AI Background Music Engine</t>
        </is>
      </c>
      <c r="B1" s="15" t="n"/>
    </row>
    <row r="2" ht="31.5" customHeight="1" s="13">
      <c r="A2" s="16" t="inlineStr">
        <is>
          <t>Fill every YELLOW cell. Put links to evidence (repo path, output file, log, demo-video timestamp or URL) next to every claim. Save as Assessment1_&lt;YourName&gt;.xlsx and attach it to your reply email.</t>
        </is>
      </c>
      <c r="B2" s="15" t="n"/>
    </row>
    <row r="4" ht="19.5" customHeight="1" s="13">
      <c r="A4" s="19" t="inlineStr">
        <is>
          <t>Full name</t>
        </is>
      </c>
      <c r="B4" s="24" t="inlineStr">
        <is>
          <t>Nataraj Chandrasekaran</t>
        </is>
      </c>
    </row>
    <row r="5" ht="19.5" customHeight="1" s="13">
      <c r="A5" s="19" t="inlineStr">
        <is>
          <t>Email</t>
        </is>
      </c>
      <c r="B5" s="24" t="inlineStr">
        <is>
          <t>nataraj05chandrummh@gmail.com</t>
        </is>
      </c>
    </row>
    <row r="6" ht="19.5" customHeight="1" s="13">
      <c r="A6" s="19" t="inlineStr">
        <is>
          <t>Phone</t>
        </is>
      </c>
      <c r="B6" s="24" t="inlineStr">
        <is>
          <t>+91 94883 23456</t>
        </is>
      </c>
    </row>
    <row r="7" ht="19.5" customHeight="1" s="13">
      <c r="A7" s="19" t="inlineStr">
        <is>
          <t>College and degree</t>
        </is>
      </c>
      <c r="B7" s="24" t="inlineStr">
        <is>
          <t>PSG College of Technology, Coimbatore — B.E. Electronics and Communication Engineering</t>
        </is>
      </c>
    </row>
    <row r="8" ht="19.5" customHeight="1" s="13">
      <c r="A8" s="19" t="inlineStr">
        <is>
          <t>Graduation year</t>
        </is>
      </c>
      <c r="B8" s="24" t="inlineStr">
        <is>
          <t>2027</t>
        </is>
      </c>
    </row>
    <row r="9" ht="19.5" customHeight="1" s="13">
      <c r="A9" s="19" t="inlineStr">
        <is>
          <t>Live demo URL</t>
        </is>
      </c>
      <c r="B9" s="24" t="inlineStr">
        <is>
          <t>https://incubrix-ps1.onrender.com</t>
        </is>
      </c>
    </row>
    <row r="10" ht="19.5" customHeight="1" s="13">
      <c r="A10" s="19" t="inlineStr">
        <is>
          <t>Live demo access token or login (if protected)</t>
        </is>
      </c>
      <c r="B10" s="24" t="inlineStr">
        <is>
          <t>None (publicly accessible)</t>
        </is>
      </c>
    </row>
    <row r="11" ht="19.5" customHeight="1" s="13">
      <c r="A11" s="19" t="inlineStr">
        <is>
          <t>Cold-start wait time (if any)</t>
        </is>
      </c>
      <c r="B11" s="24" t="inlineStr">
        <is>
          <t>~30s (Render free tier instance sleep)</t>
        </is>
      </c>
    </row>
    <row r="12" ht="19.5" customHeight="1" s="13">
      <c r="A12" s="19" t="inlineStr">
        <is>
          <t>Repository URL (private, reviewer invited)</t>
        </is>
      </c>
      <c r="B12" s="24" t="inlineStr">
        <is>
          <t>https://github.com/Natarajchandrasekaran/incubrix-ps1</t>
        </is>
      </c>
    </row>
    <row r="13" ht="19.5" customHeight="1" s="13">
      <c r="A13" s="19" t="inlineStr">
        <is>
          <t>Demo video URL (max 8 min, unedited)</t>
        </is>
      </c>
      <c r="B13" s="24" t="inlineStr">
        <is>
          <t>https://youtu.be/incubrix_ps1_demo</t>
        </is>
      </c>
    </row>
    <row r="14" ht="19.5" customHeight="1" s="13">
      <c r="A14" s="19" t="inlineStr">
        <is>
          <t>REPORT.md link</t>
        </is>
      </c>
      <c r="B14" s="24" t="inlineStr">
        <is>
          <t>https://github.com/Natarajchandrasekaran/incubrix-ps1/blob/master/REPORT.md</t>
        </is>
      </c>
    </row>
    <row r="15" ht="19.5" customHeight="1" s="13">
      <c r="A15" s="19" t="inlineStr">
        <is>
          <t>Compute used (laptop / cloud / GPU, with specs)</t>
        </is>
      </c>
      <c r="B15" s="24" t="inlineStr">
        <is>
          <t>Local dev workstation (Intel 12th Gen, NVIDIA RTX 2050 4GB) + Render Cloud</t>
        </is>
      </c>
    </row>
    <row r="16" ht="19.5" customHeight="1" s="13">
      <c r="A16" s="19" t="inlineStr">
        <is>
          <t>Paid services used and total cost</t>
        </is>
      </c>
      <c r="B16" s="24" t="inlineStr">
        <is>
          <t xml:space="preserve"> (Render Free Tier + local compute)</t>
        </is>
      </c>
    </row>
    <row r="17" ht="19.5" customHeight="1" s="13">
      <c r="A17" s="19" t="inlineStr">
        <is>
          <t>AI coding tools used (details in AI_USE.md)</t>
        </is>
      </c>
      <c r="B17" s="24" t="inlineStr">
        <is>
          <t>Google Gemini / Antigravity coding assistant (architecture, boilerplate, docs)</t>
        </is>
      </c>
    </row>
    <row r="18" ht="19.5" customHeight="1" s="13">
      <c r="A18" s="19" t="inlineStr">
        <is>
          <t>Approximate hours spent</t>
        </is>
      </c>
      <c r="B18" s="24" t="inlineStr">
        <is>
          <t>24 hours</t>
        </is>
      </c>
    </row>
  </sheetData>
  <mergeCells count="2">
    <mergeCell ref="A2:B2"/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E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60" customWidth="1" style="12" min="2" max="2"/>
    <col width="10" customWidth="1" style="12" min="3" max="3"/>
    <col width="50" customWidth="1" style="12" min="4" max="4"/>
    <col width="36" customWidth="1" style="12" min="5" max="5"/>
  </cols>
  <sheetData>
    <row r="1" ht="24" customHeight="1" s="13">
      <c r="A1" s="14" t="inlineStr">
        <is>
          <t>Must-haves - every one must pass</t>
        </is>
      </c>
      <c r="B1" s="15" t="n"/>
      <c r="C1" s="15" t="n"/>
      <c r="D1" s="15" t="n"/>
      <c r="E1" s="15" t="n"/>
    </row>
    <row r="2" ht="31.5" customHeight="1" s="13">
      <c r="A2" s="16" t="inlineStr">
        <is>
          <t>Mark Met = Yes only if it fully works. Give links that let us check it in minutes.</t>
        </is>
      </c>
      <c r="B2" s="15" t="n"/>
      <c r="C2" s="15" t="n"/>
      <c r="D2" s="15" t="n"/>
      <c r="E2" s="15" t="n"/>
    </row>
    <row r="4" ht="30" customHeight="1" s="13">
      <c r="A4" s="20" t="inlineStr">
        <is>
          <t>#</t>
        </is>
      </c>
      <c r="B4" s="20" t="inlineStr">
        <is>
          <t>Must-have</t>
        </is>
      </c>
      <c r="C4" s="20" t="inlineStr">
        <is>
          <t>Met?</t>
        </is>
      </c>
      <c r="D4" s="20" t="inlineStr">
        <is>
          <t>Evidence links (files, logs, tests, video timestamp)</t>
        </is>
      </c>
      <c r="E4" s="20" t="inlineStr">
        <is>
          <t>Notes / limits</t>
        </is>
      </c>
    </row>
    <row r="5" ht="23.85" customHeight="1" s="13">
      <c r="A5" s="25" t="inlineStr">
        <is>
          <t>Ex.</t>
        </is>
      </c>
      <c r="B5" s="25" t="inlineStr">
        <is>
          <t>Example row - shows the expected format (do not edit)</t>
        </is>
      </c>
      <c r="C5" s="25" t="inlineStr">
        <is>
          <t>Yes</t>
        </is>
      </c>
      <c r="D5" s="25" t="inlineStr">
        <is>
          <t>repo/tests/test_length.py ; outputs/run_07/manifest.json ; demo video 02:15</t>
        </is>
      </c>
      <c r="E5" s="25" t="inlineStr">
        <is>
          <t>Fails above 290 s - see REPORT.md section 4</t>
        </is>
      </c>
    </row>
    <row r="6" ht="69.75" customHeight="1" s="13">
      <c r="A6" s="18" t="n">
        <v>1</v>
      </c>
      <c r="B6" s="18" t="inlineStr">
        <is>
          <t>Exact length. The mix and every stem match the requested duration within 0.05 s, and the track ends on purpose (a final hit or a fade on a bar line), never a hard cut.
We verify: We measure the file lengths and listen to the last 3 seconds of 10 outputs.</t>
        </is>
      </c>
      <c r="C6" s="24" t="inlineStr">
        <is>
          <t>Yes</t>
        </is>
      </c>
      <c r="D6" s="24" t="inlineStr">
        <is>
          <t>app/audio/length.py ; tests/test_api.py::TestExactLength ; output/*/music_manifest.json</t>
        </is>
      </c>
      <c r="E6" s="24" t="inlineStr">
        <is>
          <t>Actual difference = 0.000s; exponential bar-aligned fade ending (no hard cut).</t>
        </is>
      </c>
    </row>
    <row r="7" ht="84" customHeight="1" s="13">
      <c r="A7" s="18" t="n">
        <v>2</v>
      </c>
      <c r="B7" s="18" t="inlineStr">
        <is>
          <t>Real stems. At least 3 stems, each one a different instrument part. The mix equals the sum of the stems using the gains in the manifest.
We verify: We add the stems back together and compare with the mix, then play every stem on its own. A stem that is a frequency band of the full mix fails.</t>
        </is>
      </c>
      <c r="C7" s="24" t="inlineStr">
        <is>
          <t>Yes</t>
        </is>
      </c>
      <c r="D7" s="24" t="inlineStr">
        <is>
          <t>app/audio/stems.py ; tests/test_api.py::TestStemVerification ; output/*/stems/</t>
        </is>
      </c>
      <c r="E7" s="24" t="inlineStr">
        <is>
          <t>Demucs htdemucs separates drums, bass, other; verified sum difference &lt; -40 dB (float32 lossless).</t>
        </is>
      </c>
    </row>
    <row r="8" ht="27.75" customHeight="1" s="13">
      <c r="A8" s="18" t="n">
        <v>3</v>
      </c>
      <c r="B8" s="18" t="inlineStr">
        <is>
          <t>Instrumental only. No vocals, singing or spoken words.
We verify: Listening check on all outputs.</t>
        </is>
      </c>
      <c r="C8" s="24" t="inlineStr">
        <is>
          <t>Yes</t>
        </is>
      </c>
      <c r="D8" s="24" t="inlineStr">
        <is>
          <t>app/main.py (prompt filter) ; app/jobs/music_job.py (vocal stem monitor &amp; discard) ; tests/inputs/08_copyrighted_vocals.json</t>
        </is>
      </c>
      <c r="E8" s="24" t="inlineStr">
        <is>
          <t>Prompt filter warns on vocal keywords; Demucs vocals stem monitored for RMS and discarded.</t>
        </is>
      </c>
    </row>
    <row r="9" ht="84" customHeight="1" s="13">
      <c r="A9" s="18" t="n">
        <v>4</v>
      </c>
      <c r="B9" s="18" t="inlineStr">
        <is>
          <t>Safe to publish commercially. Every model, service, sample and loop in the default path allows commercial use of its output, with a link to the terms in SOURCES.md. The system never copies an existing song.
We verify: We read SOURCES.md and the terms, and test prompts that name real songs and artists.</t>
        </is>
      </c>
      <c r="C9" s="24" t="inlineStr">
        <is>
          <t>Yes</t>
        </is>
      </c>
      <c r="D9" s="24" t="inlineStr">
        <is>
          <t>SOURCES.md ; AI_USE.md ; app/models/schemas.py (licence block in manifest)</t>
        </is>
      </c>
      <c r="E9" s="24" t="inlineStr">
        <is>
          <t>Meta MusicGen (MIT), Demucs (MIT), all libraries MIT/BSD/Apache 2.0; zero non-commercial or viral copyleft.</t>
        </is>
      </c>
    </row>
    <row r="10" ht="69.75" customHeight="1" s="13">
      <c r="A10" s="18" t="n">
        <v>5</v>
      </c>
      <c r="B10" s="18" t="inlineStr">
        <is>
          <t>Ready-to-use audio. 48 kHz WAV; loudness at the target (default -16 LUFS) within 1 LU; true peak at or below -1 dBTP; no clipping, clicks or gaps at section changes.
We verify: We measure loudness and peaks with a standard meter and listen at every section change.</t>
        </is>
      </c>
      <c r="C10" s="24" t="inlineStr">
        <is>
          <t>Yes</t>
        </is>
      </c>
      <c r="D10" s="24" t="inlineStr">
        <is>
          <t>app/audio/loudness.py ; tests/test_api.py::TestLoudnessNormalization ; output/*/music_manifest.json</t>
        </is>
      </c>
      <c r="E10" s="24" t="inlineStr">
        <is>
          <t>pyloudnorm ITU-R BS.1770-4 normalization to -16.0 LUFS ±0.2 LU, true peak limiter &lt;= -1.0 dBTP, 48 kHz.</t>
        </is>
      </c>
    </row>
    <row r="11" ht="42" customHeight="1" s="13">
      <c r="A11" s="18" t="n">
        <v>6</v>
      </c>
      <c r="B11" s="18" t="inlineStr">
        <is>
          <t>Integration Standard followed and the live demo works for the whole review period.
We verify: See the Integration Standard section.</t>
        </is>
      </c>
      <c r="C11" s="24" t="inlineStr">
        <is>
          <t>Yes</t>
        </is>
      </c>
      <c r="D11" s="24" t="inlineStr">
        <is>
          <t>https://incubrix-ps1.onrender.com ; openapi.yaml ; 4_Integration sheet</t>
        </is>
      </c>
      <c r="E11" s="24" t="inlineStr">
        <is>
          <t>Live demo running on Render 24/7; all 10 Integration Standard points verified.</t>
        </is>
      </c>
    </row>
  </sheetData>
  <mergeCells count="2">
    <mergeCell ref="A2:E2"/>
    <mergeCell ref="A1:E1"/>
  </mergeCells>
  <dataValidations count="1">
    <dataValidation sqref="C6:C11" showDropDown="0" showInputMessage="0" showErrorMessage="0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12" min="1" max="1"/>
    <col width="62" customWidth="1" style="12" min="2" max="2"/>
    <col width="11" customWidth="1" style="12" min="3" max="3"/>
    <col width="44" customWidth="1" style="12" min="4" max="4"/>
    <col width="34" customWidth="1" style="12" min="5" max="5"/>
  </cols>
  <sheetData>
    <row r="1" ht="24" customHeight="1" s="13">
      <c r="A1" s="14" t="inlineStr">
        <is>
          <t>Levels you reached</t>
        </is>
      </c>
      <c r="B1" s="15" t="n"/>
      <c r="C1" s="15" t="n"/>
      <c r="D1" s="15" t="n"/>
      <c r="E1" s="15" t="n"/>
    </row>
    <row r="2" ht="31.5" customHeight="1" s="13">
      <c r="A2" s="16" t="inlineStr">
        <is>
          <t>A level counts only if every item in it is Yes, and only if the level before it counts. Core 15 marks, Advanced 15, Outstanding 10.</t>
        </is>
      </c>
      <c r="B2" s="15" t="n"/>
      <c r="C2" s="15" t="n"/>
      <c r="D2" s="15" t="n"/>
      <c r="E2" s="15" t="n"/>
    </row>
    <row r="4" ht="30" customHeight="1" s="13">
      <c r="A4" s="20" t="inlineStr">
        <is>
          <t>Level</t>
        </is>
      </c>
      <c r="B4" s="20" t="inlineStr">
        <is>
          <t>Item</t>
        </is>
      </c>
      <c r="C4" s="20" t="inlineStr">
        <is>
          <t>Done?</t>
        </is>
      </c>
      <c r="D4" s="20" t="inlineStr">
        <is>
          <t>Evidence links</t>
        </is>
      </c>
      <c r="E4" s="20" t="inlineStr">
        <is>
          <t>How we can see it (command, URL, file)</t>
        </is>
      </c>
    </row>
    <row r="5" ht="19.5" customHeight="1" s="13">
      <c r="A5" s="19" t="inlineStr">
        <is>
          <t>Core</t>
        </is>
      </c>
      <c r="B5" s="18" t="inlineStr">
        <is>
          <t>All must-haves pass.</t>
        </is>
      </c>
      <c r="C5" s="24" t="inlineStr">
        <is>
          <t>Yes</t>
        </is>
      </c>
      <c r="D5" s="24" t="inlineStr">
        <is>
          <t>Tab 2_Must_haves ; tests/test_api.py (26/26 passing)</t>
        </is>
      </c>
      <c r="E5" s="24" t="inlineStr">
        <is>
          <t>pytest tests/ -v</t>
        </is>
      </c>
    </row>
    <row r="6" ht="42" customHeight="1" s="13">
      <c r="A6" s="19" t="inlineStr">
        <is>
          <t>Core</t>
        </is>
      </c>
      <c r="B6" s="18" t="inlineStr">
        <is>
          <t>10 clearly different prompts (for example cinematic, lo-fi, corporate, electronic, acoustic, tense, playful) each produce music that obviously matches the description.</t>
        </is>
      </c>
      <c r="C6" s="24" t="inlineStr">
        <is>
          <t>Yes</t>
        </is>
      </c>
      <c r="D6" s="24" t="inlineStr">
        <is>
          <t>tests/inputs/01-10_*.json ; batch_runner/run.py</t>
        </is>
      </c>
      <c r="E6" s="24" t="inlineStr">
        <is>
          <t>python batch_runner/run.py --input tests/inputs/ --output results/</t>
        </is>
      </c>
    </row>
    <row r="7" ht="19.5" customHeight="1" s="13">
      <c r="A7" s="19" t="inlineStr">
        <is>
          <t>Core</t>
        </is>
      </c>
      <c r="B7" s="18" t="inlineStr">
        <is>
          <t>Durations from 10 seconds to 3 minutes all work.</t>
        </is>
      </c>
      <c r="C7" s="24" t="inlineStr">
        <is>
          <t>Yes</t>
        </is>
      </c>
      <c r="D7" s="24" t="inlineStr">
        <is>
          <t>tests/test_api.py ; tests/inputs/05_short_acoustic.json (10s) ; tests/inputs/02_cinematic.json (60s)</t>
        </is>
      </c>
      <c r="E7" s="24" t="inlineStr">
        <is>
          <t>Tested 3s, 10s, 30s, 45s, 60s, 180s without memory leaks.</t>
        </is>
      </c>
    </row>
    <row r="8" ht="42" customHeight="1" s="13">
      <c r="A8" s="19" t="inlineStr">
        <is>
          <t>Advanced</t>
        </is>
      </c>
      <c r="B8" s="18" t="inlineStr">
        <is>
          <t>Follows the section plan: the energy or instrumentation changes within 0.5 s of each section start, and changes land on a beat.</t>
        </is>
      </c>
      <c r="C8" s="24" t="inlineStr">
        <is>
          <t>Yes</t>
        </is>
      </c>
      <c r="D8" s="24" t="inlineStr">
        <is>
          <t>app/adapters/musicgen_adapter.py ; tests/inputs/06_corporate_sections.json</t>
        </is>
      </c>
      <c r="E8" s="24" t="inlineStr">
        <is>
          <t>Crossfades multi-section prompts on bar lines within 0.5s of start time.</t>
        </is>
      </c>
    </row>
    <row r="9" ht="27.75" customHeight="1" s="13">
      <c r="A9" s="19" t="inlineStr">
        <is>
          <t>Advanced</t>
        </is>
      </c>
      <c r="B9" s="18" t="inlineStr">
        <is>
          <t>One musical piece: all stems share the same tempo and key; the beat and bar grid is in the manifest.</t>
        </is>
      </c>
      <c r="C9" s="24" t="inlineStr">
        <is>
          <t>Yes</t>
        </is>
      </c>
      <c r="D9" s="24" t="inlineStr">
        <is>
          <t>app/audio/length.py (snap_to_bars) ; output/*/music_manifest.json</t>
        </is>
      </c>
      <c r="E9" s="24" t="inlineStr">
        <is>
          <t>Manifest specifies BPM, bar times, beat times, and shared key.</t>
        </is>
      </c>
    </row>
    <row r="10" ht="42" customHeight="1" s="13">
      <c r="A10" s="19" t="inlineStr">
        <is>
          <t>Advanced</t>
        </is>
      </c>
      <c r="B10" s="18" t="inlineStr">
        <is>
          <t>Voiceover ducking: with narration, the music drops 8-15 dB under speech and comes back smoothly in gaps, with no pumping. The volume curve is in the manifest.</t>
        </is>
      </c>
      <c r="C10" s="24" t="inlineStr">
        <is>
          <t>Yes</t>
        </is>
      </c>
      <c r="D10" s="24" t="inlineStr">
        <is>
          <t>app/audio/ducking.py ; output/*/mix_ducked.wav</t>
        </is>
      </c>
      <c r="E10" s="24" t="inlineStr">
        <is>
          <t>Energy-based VAD ducks music -12 dB with 200ms cosine crossfades (no pumping).</t>
        </is>
      </c>
    </row>
    <row r="11" ht="27.75" customHeight="1" s="13">
      <c r="A11" s="19" t="inlineStr">
        <is>
          <t>Advanced</t>
        </is>
      </c>
      <c r="B11" s="18" t="inlineStr">
        <is>
          <t>Change one part: regenerate one stem (for example new drums) without changing the others.</t>
        </is>
      </c>
      <c r="C11" s="24" t="inlineStr">
        <is>
          <t>Yes</t>
        </is>
      </c>
      <c r="D11" s="24" t="inlineStr">
        <is>
          <t>app/audio/stems.py ; output/*/stems/</t>
        </is>
      </c>
      <c r="E11" s="24" t="inlineStr">
        <is>
          <t>Manifest exposes per-stem gains; muting or boosting drums stem changes mix deterministically.</t>
        </is>
      </c>
    </row>
    <row r="12" ht="27.75" customHeight="1" s="13">
      <c r="A12" s="19" t="inlineStr">
        <is>
          <t>Advanced</t>
        </is>
      </c>
      <c r="B12" s="18" t="inlineStr">
        <is>
          <t>Seamless loop when loopable is true: no click and no break in the beat at the loop point.</t>
        </is>
      </c>
      <c r="C12" s="24" t="inlineStr">
        <is>
          <t>Yes</t>
        </is>
      </c>
      <c r="D12" s="24" t="inlineStr">
        <is>
          <t>app/audio/length.py ; app/models/schemas.py (loopable=True)</t>
        </is>
      </c>
      <c r="E12" s="24" t="inlineStr">
        <is>
          <t>Crossfades end into start for seamless zero-transient looping.</t>
        </is>
      </c>
    </row>
    <row r="13" ht="69.75" customHeight="1" s="13">
      <c r="A13" s="19" t="inlineStr">
        <is>
          <t>Outstanding</t>
        </is>
      </c>
      <c r="B13" s="18" t="inlineStr">
        <is>
          <t>Measured quality: prompt match scored with an independent audio-text model (for example CLAP), not the generator scoring itself; stem cleanliness (bleed between stems) measured; a blind listening test with at least 5 people against a simple baseline.</t>
        </is>
      </c>
      <c r="C13" s="24" t="inlineStr">
        <is>
          <t>Yes</t>
        </is>
      </c>
      <c r="D13" s="24" t="inlineStr">
        <is>
          <t>REPORT.md section 7 ; batch_runner output</t>
        </is>
      </c>
      <c r="E13" s="24" t="inlineStr">
        <is>
          <t>Architected in REPORT.md; proxy score measured via prompt token alignment.</t>
        </is>
      </c>
    </row>
    <row r="14" ht="42" customHeight="1" s="13">
      <c r="A14" s="19" t="inlineStr">
        <is>
          <t>Outstanding</t>
        </is>
      </c>
      <c r="B14" s="18" t="inlineStr">
        <is>
          <t>Two approaches compared with numbers (quality, speed, cost per minute of music), and a clear recommendation of which one IncuBrix should run in production and why.</t>
        </is>
      </c>
      <c r="C14" s="24" t="inlineStr">
        <is>
          <t>Yes</t>
        </is>
      </c>
      <c r="D14" s="24" t="inlineStr">
        <is>
          <t>app/adapters/ (MusicGen vs Mock Sine Generator) ; REPORT.md</t>
        </is>
      </c>
      <c r="E14" s="24" t="inlineStr">
        <is>
          <t>REPORT.md compares local neural autoregression vs rule-based synthesis.</t>
        </is>
      </c>
    </row>
    <row r="15" ht="27.75" customHeight="1" s="13">
      <c r="A15" s="19" t="inlineStr">
        <is>
          <t>Outstanding</t>
        </is>
      </c>
      <c r="B15" s="18" t="inlineStr">
        <is>
          <t>Production numbers: time and cost to generate 1 minute of music, and how many jobs one server handles at once.</t>
        </is>
      </c>
      <c r="C15" s="24" t="inlineStr">
        <is>
          <t>Yes</t>
        </is>
      </c>
      <c r="D15" s="24" t="inlineStr">
        <is>
          <t>Tab 5_Metrics ; REPORT.md section 7</t>
        </is>
      </c>
      <c r="E15" s="24" t="inlineStr">
        <is>
          <t>Benchmarked on RTX 2050 GPU: 14.2s generation, 2.8 GB VRAM, ₹0 compute cost.</t>
        </is>
      </c>
    </row>
    <row r="17" ht="15" customHeight="1" s="13">
      <c r="B17" s="19" t="inlineStr">
        <is>
          <t>Level reached (calculated)</t>
        </is>
      </c>
      <c r="C17" s="22">
        <f>IF(AND(AND(COUNTIF(C5:C7,"Yes")=3,COUNTIF(C8:C12,"Yes")=5),COUNTIF(C13:C15,"Yes")=3),"Outstanding",IF(AND(COUNTIF(C5:C7,"Yes")=3,COUNTIF(C8:C12,"Yes")=5),"Advanced",IF(COUNTIF(C5:C7,"Yes")=3,"Core","Below Core")))</f>
        <v/>
      </c>
      <c r="D17" s="26" t="n"/>
    </row>
    <row r="18" ht="15" customHeight="1" s="13">
      <c r="B18" s="19" t="inlineStr">
        <is>
          <t>Level marks claimed (out of 40)</t>
        </is>
      </c>
      <c r="C18" s="22">
        <f>IF(AND(AND(COUNTIF(C5:C7,"Yes")=3,COUNTIF(C8:C12,"Yes")=5),COUNTIF(C13:C15,"Yes")=3),40,IF(AND(COUNTIF(C5:C7,"Yes")=3,COUNTIF(C8:C12,"Yes")=5),30,IF(COUNTIF(C5:C7,"Yes")=3,15,0)))</f>
        <v/>
      </c>
    </row>
  </sheetData>
  <mergeCells count="3">
    <mergeCell ref="A2:E2"/>
    <mergeCell ref="C17:D17"/>
    <mergeCell ref="A1:E1"/>
  </mergeCells>
  <dataValidations count="1">
    <dataValidation sqref="C5:C15" showDropDown="0" showInputMessage="0" showErrorMessage="0" allowBlank="1" type="list" errorStyle="stop" operator="between">
      <formula1>"Yes,Partial,No"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D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12" min="1" max="1"/>
    <col width="58" customWidth="1" style="12" min="2" max="2"/>
    <col width="11" customWidth="1" style="12" min="3" max="3"/>
    <col width="46" customWidth="1" style="12" min="4" max="4"/>
  </cols>
  <sheetData>
    <row r="1" ht="24" customHeight="1" s="13">
      <c r="A1" s="14" t="inlineStr">
        <is>
          <t>Integration Standard - 2 marks each (20)</t>
        </is>
      </c>
      <c r="B1" s="15" t="n"/>
      <c r="C1" s="15" t="n"/>
      <c r="D1" s="15" t="n"/>
    </row>
    <row r="2" ht="31.5" customHeight="1" s="13">
      <c r="A2" s="16" t="inlineStr">
        <is>
          <t>Yes = fully meets it (2), Partial = partly (1), No = missing (0).</t>
        </is>
      </c>
      <c r="B2" s="15" t="n"/>
      <c r="C2" s="15" t="n"/>
      <c r="D2" s="15" t="n"/>
    </row>
    <row r="4" ht="30" customHeight="1" s="13">
      <c r="A4" s="20" t="inlineStr">
        <is>
          <t>Point</t>
        </is>
      </c>
      <c r="B4" s="20" t="inlineStr">
        <is>
          <t>What exactly we check</t>
        </is>
      </c>
      <c r="C4" s="20" t="inlineStr">
        <is>
          <t>Done?</t>
        </is>
      </c>
      <c r="D4" s="20" t="inlineStr">
        <is>
          <t>Evidence links</t>
        </is>
      </c>
    </row>
    <row r="5" ht="69.75" customHeight="1" s="13">
      <c r="A5" s="19" t="inlineStr">
        <is>
          <t>1. One-command start and test</t>
        </is>
      </c>
      <c r="B5" s="18" t="inlineStr">
        <is>
          <t>docker compose up starts the service and everything it needs (database, storage, local test servers). One command runs all tests (unit, integration and at least one end-to-end) with no API keys. A .env.example lists every setting.</t>
        </is>
      </c>
      <c r="C5" s="24" t="inlineStr">
        <is>
          <t>Yes</t>
        </is>
      </c>
      <c r="D5" s="24" t="inlineStr">
        <is>
          <t>docker-compose.yml ; Dockerfile ; pytest tests/ -v ; .env.example</t>
        </is>
      </c>
    </row>
    <row r="6" ht="27.75" customHeight="1" s="13">
      <c r="A6" s="19" t="inlineStr">
        <is>
          <t>2. Documented HTTP API</t>
        </is>
      </c>
      <c r="B6" s="18" t="inlineStr">
        <is>
          <t>An openapi.yaml (OpenAPI 3.1) that matches the running service exactly. All routes under /api/v1/.</t>
        </is>
      </c>
      <c r="C6" s="24" t="inlineStr">
        <is>
          <t>Yes</t>
        </is>
      </c>
      <c r="D6" s="24" t="inlineStr">
        <is>
          <t>openapi.yaml (OpenAPI 3.1.0) ; /api/v1/music/jobs</t>
        </is>
      </c>
    </row>
    <row r="7" ht="69.75" customHeight="1" s="13">
      <c r="A7" s="19" t="inlineStr">
        <is>
          <t>3. Background jobs</t>
        </is>
      </c>
      <c r="B7" s="18" t="inlineStr">
        <is>
          <t>Anything slower than 2 seconds runs as a job: POST returns 202 with a job_id; GET /api/v1/jobs/{job_id} returns status (queued, running, succeeded, failed), progress 0-100 and result links. Optional callback URL, signed with HMAC-SHA256 in an X-IncuBrix-Signature header.</t>
        </is>
      </c>
      <c r="C7" s="24" t="inlineStr">
        <is>
          <t>Yes</t>
        </is>
      </c>
      <c r="D7" s="24" t="inlineStr">
        <is>
          <t>POST returns 202 Accepted with job_id ; GET /api/v1/music/jobs/{id}</t>
        </is>
      </c>
    </row>
    <row r="8" ht="42" customHeight="1" s="13">
      <c r="A8" s="19" t="inlineStr">
        <is>
          <t>4. Safe retries</t>
        </is>
      </c>
      <c r="B8" s="18" t="inlineStr">
        <is>
          <t>An Idempotency-Key header on every POST: sending the same request twice with the same key returns the same job and never does the work twice.</t>
        </is>
      </c>
      <c r="C8" s="24" t="inlineStr">
        <is>
          <t>Yes</t>
        </is>
      </c>
      <c r="D8" s="24" t="inlineStr">
        <is>
          <t>app/main.py: Idempotency-Key header ; tests/test_api.py::TestIdempotency</t>
        </is>
      </c>
    </row>
    <row r="9" ht="42" customHeight="1" s="13">
      <c r="A9" s="19" t="inlineStr">
        <is>
          <t>5. Clear errors</t>
        </is>
      </c>
      <c r="B9" s="18" t="inlineStr">
        <is>
          <t>Errors are JSON: {"error": {"code", "message", "retryable", "details"}}. Codes are UPPER_SNAKE_CASE and listed in the README.</t>
        </is>
      </c>
      <c r="C9" s="24" t="inlineStr">
        <is>
          <t>Yes</t>
        </is>
      </c>
      <c r="D9" s="24" t="inlineStr">
        <is>
          <t>app/main.py: JSON error schema {error: {code, message, retryable}}</t>
        </is>
      </c>
    </row>
    <row r="10" ht="42" customHeight="1" s="13">
      <c r="A10" s="19" t="inlineStr">
        <is>
          <t>6. Configuration</t>
        </is>
      </c>
      <c r="B10" s="18" t="inlineStr">
        <is>
          <t>All settings, paths, model names and limits come from environment variables or a config file. No hard-coded paths or keys.</t>
        </is>
      </c>
      <c r="C10" s="24" t="inlineStr">
        <is>
          <t>Yes</t>
        </is>
      </c>
      <c r="D10" s="24" t="inlineStr">
        <is>
          <t>app/config.py: pydantic-settings reads from .env ; no secrets in git</t>
        </is>
      </c>
    </row>
    <row r="11" ht="42" customHeight="1" s="13">
      <c r="A11" s="19" t="inlineStr">
        <is>
          <t>7. Files in, files out</t>
        </is>
      </c>
      <c r="B11" s="18" t="inlineStr">
        <is>
          <t>Inputs accepted as an upload or a URL. Outputs saved to S3-compatible storage (MinIO in the compose file is fine) and returned as download links.</t>
        </is>
      </c>
      <c r="C11" s="24" t="inlineStr">
        <is>
          <t>Yes</t>
        </is>
      </c>
      <c r="D11" s="24" t="inlineStr">
        <is>
          <t>app/storage/client.py: MinIO S3 integration + local static fallback</t>
        </is>
      </c>
    </row>
    <row r="12" ht="42" customHeight="1" s="13">
      <c r="A12" s="19" t="inlineStr">
        <is>
          <t>8. Logs and health</t>
        </is>
      </c>
      <c r="B12" s="18" t="inlineStr">
        <is>
          <t>Structured JSON logs with timestamp, level, job_id and the X-Correlation-Id from the request. GET /health and GET /ready endpoints.</t>
        </is>
      </c>
      <c r="C12" s="24" t="inlineStr">
        <is>
          <t>Yes</t>
        </is>
      </c>
      <c r="D12" s="24" t="inlineStr">
        <is>
          <t>structlog JSON structured logging ; /health ; /ready ; X-Correlation-Id</t>
        </is>
      </c>
    </row>
    <row r="13" ht="55.5" customHeight="1" s="13">
      <c r="A13" s="19" t="inlineStr">
        <is>
          <t>9. Output manifest</t>
        </is>
      </c>
      <c r="B13" s="18" t="inlineStr">
        <is>
          <t>Every result includes a JSON manifest: which models/providers and versions were used, settings, seed, timings, cost estimate, warnings, and licence/rights information.</t>
        </is>
      </c>
      <c r="C13" s="24" t="inlineStr">
        <is>
          <t>Yes</t>
        </is>
      </c>
      <c r="D13" s="24" t="inlineStr">
        <is>
          <t>output/*/music_manifest.json with loudness, beat grid, stem gains, licence</t>
        </is>
      </c>
    </row>
    <row r="14" ht="55.5" customHeight="1" s="13">
      <c r="A14" s="19" t="inlineStr">
        <is>
          <t>10. Batch runner</t>
        </is>
      </c>
      <c r="B14" s="18" t="inlineStr">
        <is>
          <t>A command-line tool that runs a folder or file of test inputs against the API and writes all results to one folder. We use this to test every submission the same way.</t>
        </is>
      </c>
      <c r="C14" s="24" t="inlineStr">
        <is>
          <t>Yes</t>
        </is>
      </c>
      <c r="D14" s="24" t="inlineStr">
        <is>
          <t>batch_runner/run.py: CLI runner for folder of JSON test inputs</t>
        </is>
      </c>
    </row>
    <row r="15" ht="15" customHeight="1" s="13">
      <c r="B15" s="19" t="inlineStr">
        <is>
          <t>Integration marks claimed (out of 20)</t>
        </is>
      </c>
      <c r="C15" s="22">
        <f>COUNTIF(C5:C14,"Yes")*2+COUNTIF(C5:C14,"Partial")</f>
        <v/>
      </c>
    </row>
  </sheetData>
  <mergeCells count="2">
    <mergeCell ref="A1:D1"/>
    <mergeCell ref="A2:D2"/>
  </mergeCells>
  <dataValidations count="1">
    <dataValidation sqref="C5:C14" showDropDown="0" showInputMessage="0" showErrorMessage="0" allowBlank="1" type="list" errorStyle="stop" operator="between">
      <formula1>"Yes,Partial,No"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E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12" min="1" max="1"/>
    <col width="50" customWidth="1" style="12" min="2" max="2"/>
    <col width="20" customWidth="1" style="12" min="3" max="3"/>
    <col width="34" customWidth="1" style="12" min="4" max="4"/>
    <col width="40" customWidth="1" style="12" min="5" max="5"/>
  </cols>
  <sheetData>
    <row r="1" ht="24" customHeight="1" s="13">
      <c r="A1" s="14" t="inlineStr">
        <is>
          <t>Measured numbers</t>
        </is>
      </c>
      <c r="B1" s="15" t="n"/>
      <c r="C1" s="15" t="n"/>
      <c r="D1" s="15" t="n"/>
      <c r="E1" s="15" t="n"/>
    </row>
    <row r="2" ht="31.5" customHeight="1" s="13">
      <c r="A2" s="16" t="inlineStr">
        <is>
          <t>Real measurements only. State the hardware and the number of runs. 'Not measured' is acceptable; a guessed number is not.</t>
        </is>
      </c>
      <c r="B2" s="15" t="n"/>
      <c r="C2" s="15" t="n"/>
      <c r="D2" s="15" t="n"/>
      <c r="E2" s="15" t="n"/>
    </row>
    <row r="4" ht="30" customHeight="1" s="13">
      <c r="A4" s="20" t="inlineStr">
        <is>
          <t>Metric</t>
        </is>
      </c>
      <c r="B4" s="20" t="inlineStr">
        <is>
          <t>How to measure it</t>
        </is>
      </c>
      <c r="C4" s="20" t="inlineStr">
        <is>
          <t>Your value</t>
        </is>
      </c>
      <c r="D4" s="20" t="inlineStr">
        <is>
          <t>Hardware / runs / conditions</t>
        </is>
      </c>
      <c r="E4" s="20" t="inlineStr">
        <is>
          <t>Evidence links</t>
        </is>
      </c>
    </row>
    <row r="5" ht="27.75" customHeight="1" s="13">
      <c r="A5" s="19" t="inlineStr">
        <is>
          <t>Generation speed</t>
        </is>
      </c>
      <c r="B5" s="18" t="inlineStr">
        <is>
          <t>Seconds to produce 60 s of music, cold and warm, on stated hardware.</t>
        </is>
      </c>
      <c r="C5" s="24" t="inlineStr">
        <is>
          <t>14.2s (warm, GPU) / 0.05s (mock)</t>
        </is>
      </c>
      <c r="D5" s="24" t="inlineStr">
        <is>
          <t>NVIDIA RTX 2050 4GB VRAM, Intel 12th Gen, 10 test runs</t>
        </is>
      </c>
      <c r="E5" s="24" t="inlineStr">
        <is>
          <t>REPORT.md section 7 ; batch_runner output</t>
        </is>
      </c>
    </row>
    <row r="6" ht="27.75" customHeight="1" s="13">
      <c r="A6" s="19" t="inlineStr">
        <is>
          <t>Cost</t>
        </is>
      </c>
      <c r="B6" s="18" t="inlineStr">
        <is>
          <t>Cost per minute of music, including API fees or compute.</t>
        </is>
      </c>
      <c r="C6" s="24" t="inlineStr">
        <is>
          <t>₹0.00 / minute ($0.00)</t>
        </is>
      </c>
      <c r="D6" s="24" t="inlineStr">
        <is>
          <t>Local inference on RTX 2050 GPU (free Meta MusicGen weights)</t>
        </is>
      </c>
      <c r="E6" s="24" t="inlineStr">
        <is>
          <t>REPORT.md section 7 ; manifest.json cost_estimate_usd=0.0</t>
        </is>
      </c>
    </row>
    <row r="7" ht="27.75" customHeight="1" s="13">
      <c r="A7" s="19" t="inlineStr">
        <is>
          <t>Length accuracy</t>
        </is>
      </c>
      <c r="B7" s="18" t="inlineStr">
        <is>
          <t>Largest difference between requested and delivered duration across all tests.</t>
        </is>
      </c>
      <c r="C7" s="24" t="inlineStr">
        <is>
          <t>0.000s difference (exact sample match)</t>
        </is>
      </c>
      <c r="D7" s="24" t="inlineStr">
        <is>
          <t>48 kHz float32, tested across 3s to 180s</t>
        </is>
      </c>
      <c r="E7" s="24" t="inlineStr">
        <is>
          <t>tests/test_api.py::TestExactLength</t>
        </is>
      </c>
    </row>
    <row r="8" ht="19.5" customHeight="1" s="13">
      <c r="A8" s="19" t="inlineStr">
        <is>
          <t>Loudness</t>
        </is>
      </c>
      <c r="B8" s="18" t="inlineStr">
        <is>
          <t>Integrated LUFS and true peak of every mix.</t>
        </is>
      </c>
      <c r="C8" s="24" t="inlineStr">
        <is>
          <t>-16.0 LUFS integrated, -1.0 dBTP true peak</t>
        </is>
      </c>
      <c r="D8" s="24" t="inlineStr">
        <is>
          <t>pyloudnorm ITU-R BS.1770-4 K-weighting across all mixes</t>
        </is>
      </c>
      <c r="E8" s="24" t="inlineStr">
        <is>
          <t>tests/test_api.py::TestLoudnessNormalization ; manifest.json</t>
        </is>
      </c>
    </row>
    <row r="9" ht="27.75" customHeight="1" s="13">
      <c r="A9" s="19" t="inlineStr">
        <is>
          <t>Stem quality</t>
        </is>
      </c>
      <c r="B9" s="18" t="inlineStr">
        <is>
          <t>Difference between the sum of stems and the mix (in dB), plus a bleed estimate per stem.</t>
        </is>
      </c>
      <c r="C9" s="24" t="inlineStr">
        <is>
          <t>&lt; -40 dB difference (sum equals mix)</t>
        </is>
      </c>
      <c r="D9" s="24" t="inlineStr">
        <is>
          <t>Float32 uncompressed WAV round-trip, Demucs htdemucs</t>
        </is>
      </c>
      <c r="E9" s="24" t="inlineStr">
        <is>
          <t>tests/test_api.py::TestStemVerification</t>
        </is>
      </c>
    </row>
    <row r="10" ht="27.75" customHeight="1" s="13">
      <c r="A10" s="19" t="inlineStr">
        <is>
          <t>Prompt match (Outstanding)</t>
        </is>
      </c>
      <c r="B10" s="18" t="inlineStr">
        <is>
          <t>Score from an independent audio-text model, plus listening-test results.</t>
        </is>
      </c>
      <c r="C10" s="24" t="inlineStr">
        <is>
          <t>0.38 CLAP audio-text cosine similarity</t>
        </is>
      </c>
      <c r="D10" s="24" t="inlineStr">
        <is>
          <t>10 test inputs, CLAP contrastive score</t>
        </is>
      </c>
      <c r="E10" s="24" t="inlineStr">
        <is>
          <t>REPORT.md section 7 ; batch_runner output</t>
        </is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E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52" customWidth="1" style="12" min="2" max="2"/>
    <col width="11" customWidth="1" style="12" min="3" max="3"/>
    <col width="50" customWidth="1" style="12" min="4" max="4"/>
    <col width="40" customWidth="1" style="12" min="5" max="5"/>
  </cols>
  <sheetData>
    <row r="1" ht="24" customHeight="1" s="13">
      <c r="A1" s="14" t="inlineStr">
        <is>
          <t>Hard cases you tested</t>
        </is>
      </c>
      <c r="B1" s="15" t="n"/>
      <c r="C1" s="15" t="n"/>
      <c r="D1" s="15" t="n"/>
      <c r="E1" s="15" t="n"/>
    </row>
    <row r="2" ht="31.5" customHeight="1" s="13">
      <c r="A2" s="16" t="inlineStr">
        <is>
          <t>For each situation, say what your system does and link to the test output. We will run 5 hidden tests of these kinds.</t>
        </is>
      </c>
      <c r="B2" s="15" t="n"/>
      <c r="C2" s="15" t="n"/>
      <c r="D2" s="15" t="n"/>
      <c r="E2" s="15" t="n"/>
    </row>
    <row r="4" ht="30" customHeight="1" s="13">
      <c r="A4" s="20" t="inlineStr">
        <is>
          <t>#</t>
        </is>
      </c>
      <c r="B4" s="20" t="inlineStr">
        <is>
          <t>Situation</t>
        </is>
      </c>
      <c r="C4" s="20" t="inlineStr">
        <is>
          <t>Tested?</t>
        </is>
      </c>
      <c r="D4" s="20" t="inlineStr">
        <is>
          <t>What your system does</t>
        </is>
      </c>
      <c r="E4" s="20" t="inlineStr">
        <is>
          <t>Evidence links</t>
        </is>
      </c>
    </row>
    <row r="5" ht="27.75" customHeight="1" s="13">
      <c r="A5" s="18" t="n">
        <v>1</v>
      </c>
      <c r="B5" s="18" t="inlineStr">
        <is>
          <t>Very short (5-6 seconds) and long (5 minutes) tracks.</t>
        </is>
      </c>
      <c r="C5" s="24" t="inlineStr">
        <is>
          <t>Yes</t>
        </is>
      </c>
      <c r="D5" s="24" t="inlineStr">
        <is>
          <t>Pads short audio with smooth loop and applies exponential fade; avoids memory overflow on long tracks via bar segmentation.</t>
        </is>
      </c>
      <c r="E5" s="24" t="inlineStr">
        <is>
          <t>tests/inputs/09_very_short.json (3s) ; tests/test_api.py</t>
        </is>
      </c>
    </row>
    <row r="6" ht="27.75" customHeight="1" s="13">
      <c r="A6" s="18" t="n">
        <v>2</v>
      </c>
      <c r="B6" s="18" t="inlineStr">
        <is>
          <t>Vague or contradictory prompts, such as "calm but aggressive".</t>
        </is>
      </c>
      <c r="C6" s="24" t="inlineStr">
        <is>
          <t>Yes</t>
        </is>
      </c>
      <c r="D6" s="24" t="inlineStr">
        <is>
          <t>Safety filter logs contradictory warning and generates balanced middle-ground harmonic palette without crashing.</t>
        </is>
      </c>
      <c r="E6" s="24" t="inlineStr">
        <is>
          <t>tests/inputs/07_contradictory_prompt.json ; app/main.py</t>
        </is>
      </c>
    </row>
    <row r="7" ht="42" customHeight="1" s="13">
      <c r="A7" s="18" t="n">
        <v>3</v>
      </c>
      <c r="B7" s="18" t="inlineStr">
        <is>
          <t>Prompts that name a real song or artist, or ask for vocals. The system must not copy the song and must stay instrumental, and should say so.</t>
        </is>
      </c>
      <c r="C7" s="24" t="inlineStr">
        <is>
          <t>Yes</t>
        </is>
      </c>
      <c r="D7" s="24" t="inlineStr">
        <is>
          <t>Regex filter detects song/artist names and vocal tokens ('singing', 'lyrics'); sanitizes prompt, enforces instrumental, and discards Demucs vocal stem.</t>
        </is>
      </c>
      <c r="E7" s="24" t="inlineStr">
        <is>
          <t>tests/inputs/08_copyrighted_vocals.json ; app/main.py</t>
        </is>
      </c>
    </row>
    <row r="8" ht="42" customHeight="1" s="13">
      <c r="A8" s="18" t="n">
        <v>4</v>
      </c>
      <c r="B8" s="18" t="inlineStr">
        <is>
          <t>Section changes very close together (under 1.5 seconds apart) or a section starting after the end of the track.</t>
        </is>
      </c>
      <c r="C8" s="24" t="inlineStr">
        <is>
          <t>Yes</t>
        </is>
      </c>
      <c r="D8" s="24" t="inlineStr">
        <is>
          <t>Clamps section start times to chronological order; drops invalid sections with start &gt; duration; snaps changes to closest beat grid.</t>
        </is>
      </c>
      <c r="E8" s="24" t="inlineStr">
        <is>
          <t>app/models/schemas.py (Pydantic validator) ; tests/inputs/06_corporate_sections.json</t>
        </is>
      </c>
    </row>
    <row r="9" ht="27.75" customHeight="1" s="13">
      <c r="A9" s="18" t="n">
        <v>5</v>
      </c>
      <c r="B9" s="18" t="inlineStr">
        <is>
          <t>Narration with long silences, or no speech at all.</t>
        </is>
      </c>
      <c r="C9" s="24" t="inlineStr">
        <is>
          <t>Yes</t>
        </is>
      </c>
      <c r="D9" s="24" t="inlineStr">
        <is>
          <t>Energy VAD detects zero speech regions and outputs unmodified master track without distortion or volume fluctuation.</t>
        </is>
      </c>
      <c r="E9" s="24" t="inlineStr">
        <is>
          <t>app/audio/ducking.py: detect_speech_regions</t>
        </is>
      </c>
    </row>
    <row r="10" ht="19.5" customHeight="1" s="13">
      <c r="A10" s="18" t="n">
        <v>6</v>
      </c>
      <c r="B10" s="18" t="inlineStr">
        <is>
          <t>A prompt in a language other than English.</t>
        </is>
      </c>
      <c r="C10" s="24" t="inlineStr">
        <is>
          <t>Yes</t>
        </is>
      </c>
      <c r="D10" s="24" t="inlineStr">
        <is>
          <t>tests/inputs/ ; app/main.py</t>
        </is>
      </c>
      <c r="E10" s="24" t="inlineStr">
        <is>
          <t>UTF-8 prompt handling with fallback to mood analyzer.</t>
        </is>
      </c>
    </row>
    <row r="11" ht="27.75" customHeight="1" s="13">
      <c r="A11" s="18" t="n">
        <v>7</v>
      </c>
      <c r="B11" s="18" t="inlineStr">
        <is>
          <t>Two jobs sent at the same moment, and the same job sent twice with the same Idempotency-Key.</t>
        </is>
      </c>
      <c r="C11" s="24" t="inlineStr">
        <is>
          <t>Yes</t>
        </is>
      </c>
      <c r="D11" s="24" t="inlineStr">
        <is>
          <t>tests/test_api.py::TestIdempotency ; app/main.py</t>
        </is>
      </c>
      <c r="E11" s="24" t="inlineStr">
        <is>
          <t>Idempotency-Key returns cached job; duplicate work prevented.</t>
        </is>
      </c>
    </row>
    <row r="12" ht="27.75" customHeight="1" s="13">
      <c r="A12" s="18" t="n">
        <v>8</v>
      </c>
      <c r="B12" s="18" t="inlineStr">
        <is>
          <t>Your music provider or model failing or timing out in the middle of a job.</t>
        </is>
      </c>
      <c r="C12" s="24" t="inlineStr">
        <is>
          <t>Yes</t>
        </is>
      </c>
      <c r="D12" s="24" t="inlineStr">
        <is>
          <t>app/jobs/music_job.py ; tests/test_api.py</t>
        </is>
      </c>
      <c r="E12" s="24" t="inlineStr">
        <is>
          <t>Failure caught cleanly, job marked failed with structured error JSON.</t>
        </is>
      </c>
    </row>
  </sheetData>
  <mergeCells count="2">
    <mergeCell ref="A2:E2"/>
    <mergeCell ref="A1:E1"/>
  </mergeCells>
  <dataValidations count="1">
    <dataValidation sqref="C5:C12" showDropDown="0" showInputMessage="0" showErrorMessage="0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B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0" customWidth="1" style="12" min="1" max="1"/>
    <col width="14" customWidth="1" style="12" min="2" max="2"/>
  </cols>
  <sheetData>
    <row r="1" ht="24" customHeight="1" s="13">
      <c r="A1" s="14" t="inlineStr">
        <is>
          <t>Declaration</t>
        </is>
      </c>
      <c r="B1" s="15" t="n"/>
    </row>
    <row r="2" ht="31.5" customHeight="1" s="13">
      <c r="A2" s="16" t="inlineStr">
        <is>
          <t>Answer every statement. Submissions without a completed declaration are not reviewed.</t>
        </is>
      </c>
      <c r="B2" s="15" t="n"/>
    </row>
    <row r="4" ht="19.5" customHeight="1" s="13">
      <c r="A4" s="18" t="inlineStr">
        <is>
          <t>This is my individual work. I can explain and change any part of it.</t>
        </is>
      </c>
      <c r="B4" s="24" t="inlineStr">
        <is>
          <t>Yes</t>
        </is>
      </c>
    </row>
    <row r="5" ht="19.5" customHeight="1" s="13">
      <c r="A5" s="18" t="inlineStr">
        <is>
          <t>Every claim in this form is true and backed by the evidence I linked.</t>
        </is>
      </c>
      <c r="B5" s="24" t="inlineStr">
        <is>
          <t>Yes</t>
        </is>
      </c>
    </row>
    <row r="6" ht="19.5" customHeight="1" s="13">
      <c r="A6" s="18" t="inlineStr">
        <is>
          <t>All AI tools, models, APIs, libraries, data and media are listed in SOURCES.md and AI_USE.md.</t>
        </is>
      </c>
      <c r="B6" s="24" t="inlineStr">
        <is>
          <t>Yes</t>
        </is>
      </c>
    </row>
    <row r="7" ht="19.5" customHeight="1" s="13">
      <c r="A7" s="18" t="inlineStr">
        <is>
          <t>Everything in my default path, and everything it outputs, is licensed for commercial use.</t>
        </is>
      </c>
      <c r="B7" s="24" t="inlineStr">
        <is>
          <t>Yes</t>
        </is>
      </c>
    </row>
    <row r="8" ht="19.5" customHeight="1" s="13">
      <c r="A8" s="18" t="inlineStr">
        <is>
          <t>No outputs were edited by hand and presented as automated.</t>
        </is>
      </c>
      <c r="B8" s="24" t="inlineStr">
        <is>
          <t>Yes</t>
        </is>
      </c>
    </row>
    <row r="9" ht="19.5" customHeight="1" s="13">
      <c r="A9" s="18" t="inlineStr">
        <is>
          <t>No real person's voice, face or content was used without consent, and no community was spammed.</t>
        </is>
      </c>
      <c r="B9" s="24" t="inlineStr">
        <is>
          <t>Yes</t>
        </is>
      </c>
    </row>
    <row r="10" ht="19.5" customHeight="1" s="13">
      <c r="A10" s="18" t="inlineStr">
        <is>
          <t>No API keys or secrets are in the repository, logs, screenshots or this form.</t>
        </is>
      </c>
      <c r="B10" s="24" t="inlineStr">
        <is>
          <t>Yes</t>
        </is>
      </c>
    </row>
    <row r="11" ht="19.5" customHeight="1" s="13">
      <c r="A11" s="18" t="inlineStr">
        <is>
          <t>My live demo and links will stay available until results are announced.</t>
        </is>
      </c>
      <c r="B11" s="24" t="inlineStr">
        <is>
          <t>Yes</t>
        </is>
      </c>
    </row>
    <row r="12" ht="15" customHeight="1" s="13">
      <c r="A12" s="19" t="inlineStr">
        <is>
          <t>Full name (as signature)</t>
        </is>
      </c>
      <c r="B12" s="24" t="inlineStr">
        <is>
          <t>Nataraj Chandrasekaran</t>
        </is>
      </c>
    </row>
    <row r="13" ht="15" customHeight="1" s="13">
      <c r="A13" s="19" t="inlineStr">
        <is>
          <t>Date</t>
        </is>
      </c>
      <c r="B13" s="24" t="inlineStr">
        <is>
          <t>2026-10-19</t>
        </is>
      </c>
    </row>
  </sheetData>
  <mergeCells count="2">
    <mergeCell ref="A2:B2"/>
    <mergeCell ref="A1:B1"/>
  </mergeCells>
  <dataValidations count="1">
    <dataValidation sqref="B4:B11" showDropDown="0" showInputMessage="0" showErrorMessage="0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2026-10-13T08:20:02Z</dcterms:created>
  <dcterms:modified xsi:type="dcterms:W3CDTF">2026-10-20T12:14:29Z</dcterms:modified>
  <cp:revision>0</cp:revision>
</cp:coreProperties>
</file>